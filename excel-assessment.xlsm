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Ram\Desktop\Lux\MapUp-Data-Assessment-E-main\"/>
    </mc:Choice>
  </mc:AlternateContent>
  <xr:revisionPtr revIDLastSave="0" documentId="13_ncr:1_{ECEA232F-2919-4B46-8BA6-073C05D817CA}" xr6:coauthVersionLast="47" xr6:coauthVersionMax="47" xr10:uidLastSave="{00000000-0000-0000-0000-000000000000}"/>
  <bookViews>
    <workbookView xWindow="-110" yWindow="-110" windowWidth="19420" windowHeight="10300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" i="18" l="1"/>
  <c r="B30" i="18"/>
  <c r="C29" i="18"/>
  <c r="B29" i="18"/>
  <c r="B28" i="18"/>
  <c r="C28" i="18"/>
  <c r="E6" i="18"/>
  <c r="F6" i="18"/>
  <c r="D6" i="18"/>
  <c r="C6" i="18"/>
  <c r="C19" i="18"/>
  <c r="C20" i="18"/>
  <c r="C21" i="18"/>
  <c r="C22" i="18"/>
  <c r="C23" i="18"/>
  <c r="C24" i="18"/>
  <c r="C25" i="18"/>
  <c r="C26" i="18"/>
  <c r="C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<sst xmlns="http://schemas.openxmlformats.org/spreadsheetml/2006/main" count="406" uniqueCount="183">
  <si>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</si>
  <si>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</si>
  <si>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</si>
  <si>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</si>
  <si>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</si>
  <si>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</si>
  <si>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</si>
  <si>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</si>
  <si>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</si>
  <si>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</si>
  <si>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</si>
  <si>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</si>
  <si>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</si>
  <si>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</si>
  <si>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</si>
  <si>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</si>
  <si>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</si>
  <si>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</si>
  <si>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</si>
  <si>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</si>
  <si>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</si>
  <si>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</si>
  <si>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</si>
  <si>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</si>
  <si>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</si>
  <si>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</si>
  <si>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</si>
  <si>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</si>
  <si>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</si>
  <si>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</si>
  <si>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</si>
  <si>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</si>
  <si>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</si>
  <si>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</si>
  <si>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</si>
  <si>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</si>
  <si>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</si>
  <si>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</si>
  <si>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</si>
  <si>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</si>
  <si>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</si>
  <si>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</si>
  <si>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</si>
  <si>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</si>
  <si>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</si>
  <si>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</si>
  <si>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</si>
  <si>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</si>
  <si>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</si>
  <si>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</si>
  <si>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</si>
  <si>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</si>
  <si>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</si>
  <si>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</si>
  <si>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</si>
  <si>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</si>
  <si>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</si>
  <si>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</si>
  <si>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</si>
  <si>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</si>
  <si>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</si>
  <si>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</si>
  <si>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</si>
  <si>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</si>
  <si>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</si>
  <si>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</si>
  <si>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</si>
  <si>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</si>
  <si>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</si>
  <si>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</si>
  <si>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</si>
  <si>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</si>
  <si>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</si>
  <si>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</si>
  <si>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</si>
  <si>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</si>
  <si>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</si>
  <si>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</si>
  <si>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</si>
  <si>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</si>
  <si>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</si>
  <si>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</si>
  <si>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</si>
  <si>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</si>
  <si>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</si>
  <si>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</si>
  <si>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</si>
  <si>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</si>
  <si>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</si>
  <si>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</si>
  <si>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</si>
  <si>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</si>
  <si>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</si>
  <si>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</si>
  <si>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</si>
  <si>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</si>
  <si>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</si>
  <si>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</si>
  <si>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</si>
  <si>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</si>
  <si>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</si>
  <si>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</si>
  <si>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</si>
  <si>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</si>
  <si>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</si>
  <si>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</si>
  <si>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</si>
  <si>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</si>
  <si>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</si>
  <si>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</si>
  <si>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</si>
  <si>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</si>
  <si>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</si>
  <si>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</si>
  <si>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</si>
  <si>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</si>
  <si>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</si>
  <si>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</si>
  <si>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</si>
  <si>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</si>
  <si>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</si>
  <si>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</si>
  <si>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</si>
  <si>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</si>
  <si>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</si>
  <si>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</si>
  <si>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</si>
  <si>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</si>
  <si>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</si>
  <si>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</si>
  <si>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</si>
  <si>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</si>
  <si>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</si>
  <si>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</si>
  <si>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</si>
  <si>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</si>
  <si>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</si>
  <si>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</si>
  <si>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</si>
  <si>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</si>
  <si>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</si>
  <si>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</si>
  <si>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</si>
  <si>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</si>
  <si>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</si>
  <si>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</si>
  <si>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</si>
  <si>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</si>
  <si>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</si>
  <si>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</si>
  <si>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</si>
  <si>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</si>
  <si>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</si>
  <si>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</si>
  <si>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</si>
  <si>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</si>
  <si>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</si>
  <si>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</si>
  <si>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</si>
  <si>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</si>
  <si>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</si>
  <si>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</si>
  <si>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</si>
  <si>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</si>
  <si>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</si>
  <si>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</si>
  <si>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</si>
  <si>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</si>
  <si>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</si>
  <si>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</si>
  <si>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</si>
  <si>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</si>
  <si>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</si>
  <si>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</si>
  <si>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</si>
  <si>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</si>
  <si>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</si>
  <si>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`</t>
  </si>
  <si>
    <t>=SUMIF(H:H,"car2",I:I)-SUMIF(H:H,"car2",I:I,"&lt;=20")</t>
  </si>
  <si>
    <t>Used text to columns split of data  tab and then selected desired destinaion to split it</t>
  </si>
  <si>
    <t>Took Vlookup for table and table b and then then genrated ouput using the formula</t>
  </si>
  <si>
    <t>#whatever be the column index number from 14 to 23, I am getting #ref as vlookup value</t>
  </si>
  <si>
    <r>
      <t xml:space="preserve">#tried with every column number but still same output at </t>
    </r>
    <r>
      <rPr>
        <b/>
        <sz val="10"/>
        <color rgb="FF000000"/>
        <rFont val="Calibri"/>
        <family val="2"/>
        <scheme val="minor"/>
      </rPr>
      <t>D6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</si>
</sst>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2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0"/>
      <color rgb="FF111111"/>
      <name val="Arial Unicode MS"/>
    </font>
    <font>
      <sz val="7"/>
      <color rgb="FF111111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18" fillId="0" borderId="0" xfId="0" applyFont="1"/>
    <xf numFmtId="0" fontId="19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20" fillId="0" borderId="0" xfId="0" applyFont="1"/>
    <xf numFmtId="0" fontId="21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/>
  <cols>
    <col min="1" max="1" width="70.796875" style="2" bestFit="1" customWidth="1"/>
    <col min="2" max="16384" width="11" style="2"/>
  </cols>
  <sheetData>
    <row r="1" spans="1:3" ht="18.5">
      <c r="A1" s="39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5">
      <c r="A4" s="2" t="s">
        <v>111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6" t="s">
        <v>171</v>
      </c>
      <c r="B9" s="26" t="s">
        <v>169</v>
      </c>
    </row>
    <row r="10" spans="1:3">
      <c r="A10" s="35" t="s">
        <v>172</v>
      </c>
      <c r="B10" s="37">
        <v>25</v>
      </c>
    </row>
    <row r="11" spans="1:3">
      <c r="A11" s="35" t="s">
        <v>55</v>
      </c>
      <c r="B11" s="37">
        <v>30</v>
      </c>
    </row>
    <row r="12" spans="1:3">
      <c r="A12" s="35" t="s">
        <v>56</v>
      </c>
      <c r="B12" s="37">
        <v>10</v>
      </c>
    </row>
    <row r="13" spans="1:3">
      <c r="A13" s="35" t="s">
        <v>85</v>
      </c>
      <c r="B13" s="37">
        <v>20</v>
      </c>
    </row>
    <row r="14" spans="1:3">
      <c r="A14" s="35" t="s">
        <v>98</v>
      </c>
      <c r="B14" s="37">
        <v>40</v>
      </c>
    </row>
    <row r="15" spans="1: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3"/>
  <sheetViews>
    <sheetView topLeftCell="N1" zoomScaleNormal="100" workbookViewId="0">
      <pane ySplit="1" topLeftCell="A2" activePane="bottomLeft" state="frozen"/>
      <selection pane="bottomLeft" activeCell="R2" sqref="R2"/>
    </sheetView>
  </sheetViews>
  <sheetFormatPr defaultColWidth="9" defaultRowHeight="14.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7" bestFit="1" customWidth="1"/>
    <col min="25" max="16384" width="9" style="1"/>
  </cols>
  <sheetData>
    <row r="1" spans="1:24" s="3" customFormat="1" ht="14.75" customHeight="1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44">
        <v>-1</v>
      </c>
      <c r="K2" s="44">
        <v>-1</v>
      </c>
      <c r="L2" s="44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44">
        <v>-1</v>
      </c>
      <c r="K3" s="44">
        <v>-1</v>
      </c>
      <c r="L3" s="44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44">
        <v>-1</v>
      </c>
      <c r="K4" s="44">
        <v>-1</v>
      </c>
      <c r="L4" s="44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44">
        <v>-1</v>
      </c>
      <c r="K5" s="44">
        <v>-1</v>
      </c>
      <c r="L5" s="44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44">
        <v>-1</v>
      </c>
      <c r="K6" s="44">
        <v>-1</v>
      </c>
      <c r="L6" s="44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44">
        <v>-1</v>
      </c>
      <c r="K7" s="44">
        <v>-1</v>
      </c>
      <c r="L7" s="44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44">
        <v>-1</v>
      </c>
      <c r="K8" s="44">
        <v>-1</v>
      </c>
      <c r="L8" s="44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44">
        <v>-1</v>
      </c>
      <c r="K9" s="44">
        <v>-1</v>
      </c>
      <c r="L9" s="44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44">
        <v>-1</v>
      </c>
      <c r="K10" s="44">
        <v>-1</v>
      </c>
      <c r="L10" s="44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44">
        <v>-1</v>
      </c>
      <c r="K11" s="44">
        <v>-1</v>
      </c>
      <c r="L11" s="44">
        <v>-1</v>
      </c>
      <c r="M11" s="1">
        <v>37.200000000000003</v>
      </c>
      <c r="N11" s="1" t="s">
        <v>177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7">
        <v>45116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44">
        <v>-1</v>
      </c>
      <c r="K13" s="44">
        <v>-1</v>
      </c>
      <c r="L13" s="44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44">
        <v>-1</v>
      </c>
      <c r="K14" s="44">
        <v>-1</v>
      </c>
      <c r="L14" s="44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44">
        <v>-1</v>
      </c>
      <c r="K15" s="44">
        <v>-1</v>
      </c>
      <c r="L15" s="44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44">
        <v>-1</v>
      </c>
      <c r="K16" s="44">
        <v>-1</v>
      </c>
      <c r="L16" s="44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44">
        <v>-1</v>
      </c>
      <c r="K17" s="44">
        <v>-1</v>
      </c>
      <c r="L17" s="44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44">
        <v>-1</v>
      </c>
      <c r="K18" s="44">
        <v>-1</v>
      </c>
      <c r="L18" s="44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44">
        <v>-1</v>
      </c>
      <c r="K19" s="44">
        <v>-1</v>
      </c>
      <c r="L19" s="44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44">
        <v>-1</v>
      </c>
      <c r="K20" s="44">
        <v>-1</v>
      </c>
      <c r="L20" s="44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44">
        <v>-1</v>
      </c>
      <c r="K21" s="44">
        <v>-1</v>
      </c>
      <c r="L21" s="44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44">
        <v>-1</v>
      </c>
      <c r="K22" s="44">
        <v>-1</v>
      </c>
      <c r="L22" s="44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44">
        <v>-1</v>
      </c>
      <c r="V22" s="1">
        <v>65.900000000000006</v>
      </c>
      <c r="W22" s="1">
        <v>65.900000000000006</v>
      </c>
      <c r="X22" s="47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44">
        <v>-1</v>
      </c>
      <c r="K23" s="44">
        <v>-1</v>
      </c>
      <c r="L23" s="44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44">
        <v>-1</v>
      </c>
      <c r="K24" s="44">
        <v>-1</v>
      </c>
      <c r="L24" s="44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44">
        <v>-1</v>
      </c>
      <c r="K25" s="44">
        <v>-1</v>
      </c>
      <c r="L25" s="44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45">
        <v>0</v>
      </c>
      <c r="H26" s="45">
        <v>0</v>
      </c>
      <c r="I26" s="45">
        <v>0</v>
      </c>
      <c r="J26" s="45">
        <v>0</v>
      </c>
      <c r="K26" s="45">
        <v>0</v>
      </c>
      <c r="L26" s="45">
        <v>0</v>
      </c>
      <c r="M26" s="45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7">
        <v>45142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44">
        <v>-1</v>
      </c>
      <c r="K27" s="44">
        <v>-1</v>
      </c>
      <c r="L27" s="44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44">
        <v>-1</v>
      </c>
      <c r="K28" s="44">
        <v>-1</v>
      </c>
      <c r="L28" s="44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44">
        <v>-1</v>
      </c>
      <c r="K29" s="44">
        <v>-1</v>
      </c>
      <c r="L29" s="44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44">
        <v>-1</v>
      </c>
      <c r="H30" s="44">
        <v>-1</v>
      </c>
      <c r="I30" s="44">
        <v>-1</v>
      </c>
      <c r="J30" s="44">
        <v>-1</v>
      </c>
      <c r="K30" s="44">
        <v>-1</v>
      </c>
      <c r="L30" s="44">
        <v>-1</v>
      </c>
      <c r="M30" s="44">
        <v>-1</v>
      </c>
      <c r="N30" s="44">
        <v>-1</v>
      </c>
      <c r="O30" s="44">
        <v>-1</v>
      </c>
      <c r="P30" s="44">
        <v>-1</v>
      </c>
      <c r="Q30" s="44">
        <v>-1</v>
      </c>
      <c r="R30" s="44">
        <v>-1</v>
      </c>
      <c r="S30" s="44">
        <v>-1</v>
      </c>
      <c r="T30" s="44">
        <v>-1</v>
      </c>
      <c r="U30" s="44">
        <v>-1</v>
      </c>
      <c r="V30" s="44">
        <v>-1</v>
      </c>
      <c r="W30" s="44">
        <v>-1</v>
      </c>
      <c r="X30" s="47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44">
        <v>-1</v>
      </c>
      <c r="K31" s="44">
        <v>-1</v>
      </c>
      <c r="L31" s="44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44">
        <v>-1</v>
      </c>
      <c r="H32" s="44">
        <v>-1</v>
      </c>
      <c r="I32" s="44">
        <v>-1</v>
      </c>
      <c r="J32" s="44">
        <v>-1</v>
      </c>
      <c r="K32" s="44">
        <v>-1</v>
      </c>
      <c r="L32" s="44">
        <v>-1</v>
      </c>
      <c r="M32" s="44">
        <v>-1</v>
      </c>
      <c r="N32" s="44">
        <v>-1</v>
      </c>
      <c r="O32" s="44">
        <v>-1</v>
      </c>
      <c r="P32" s="44">
        <v>-1</v>
      </c>
      <c r="Q32" s="44">
        <v>-1</v>
      </c>
      <c r="R32" s="44">
        <v>-1</v>
      </c>
      <c r="S32" s="44">
        <v>-1</v>
      </c>
      <c r="T32" s="44">
        <v>-1</v>
      </c>
      <c r="U32" s="44">
        <v>-1</v>
      </c>
      <c r="V32" s="44">
        <v>-1</v>
      </c>
      <c r="W32" s="44">
        <v>-1</v>
      </c>
      <c r="X32" s="47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44">
        <v>-1</v>
      </c>
      <c r="K33" s="44">
        <v>-1</v>
      </c>
      <c r="L33" s="44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44">
        <v>-1</v>
      </c>
      <c r="K34" s="44">
        <v>-1</v>
      </c>
      <c r="L34" s="44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44">
        <v>-1</v>
      </c>
      <c r="K35" s="44">
        <v>-1</v>
      </c>
      <c r="L35" s="44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44">
        <v>-1</v>
      </c>
      <c r="K36" s="44">
        <v>-1</v>
      </c>
      <c r="L36" s="44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44">
        <v>-1</v>
      </c>
      <c r="K37" s="44">
        <v>-1</v>
      </c>
      <c r="L37" s="44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44">
        <v>-1</v>
      </c>
      <c r="K38" s="44">
        <v>-1</v>
      </c>
      <c r="L38" s="44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44">
        <v>-1</v>
      </c>
      <c r="K39" s="44">
        <v>-1</v>
      </c>
      <c r="L39" s="44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44">
        <v>-1</v>
      </c>
      <c r="K40" s="44">
        <v>-1</v>
      </c>
      <c r="L40" s="44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3" spans="1:24">
      <c r="Q43" s="49"/>
    </row>
  </sheetData>
  <autoFilter ref="A1:X40" xr:uid="{00000000-0001-0000-0000-000000000000}"/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B6" sqref="B6"/>
    </sheetView>
  </sheetViews>
  <sheetFormatPr defaultColWidth="11" defaultRowHeight="14.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4" t="s">
        <v>178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H30"/>
  <sheetViews>
    <sheetView topLeftCell="A14" zoomScaleNormal="100" workbookViewId="0">
      <selection activeCell="G27" sqref="G27"/>
    </sheetView>
  </sheetViews>
  <sheetFormatPr defaultColWidth="11" defaultRowHeight="1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8" s="41" customFormat="1" ht="21">
      <c r="A1" s="42" t="s">
        <v>55</v>
      </c>
      <c r="B1" s="41" t="s">
        <v>164</v>
      </c>
    </row>
    <row r="2" spans="1:8" s="41" customFormat="1" ht="21">
      <c r="B2" s="41" t="s">
        <v>161</v>
      </c>
    </row>
    <row r="3" spans="1:8" ht="14.5">
      <c r="A3" s="1"/>
      <c r="B3" s="1"/>
      <c r="C3" s="1"/>
      <c r="D3" s="1"/>
      <c r="E3" s="1"/>
      <c r="F3" s="1"/>
      <c r="G3" s="1"/>
    </row>
    <row r="4" spans="1:8" ht="23.5">
      <c r="A4" s="18" t="s">
        <v>162</v>
      </c>
      <c r="B4" s="1"/>
      <c r="C4" s="1"/>
      <c r="D4" s="1"/>
      <c r="E4" s="1"/>
      <c r="F4" s="1"/>
      <c r="G4" s="1"/>
    </row>
    <row r="5" spans="1:8" ht="14.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8" ht="14.5">
      <c r="A6" s="7" t="s">
        <v>40</v>
      </c>
      <c r="B6" s="12">
        <f>VLOOKUP(A6,Dataset!$A$2:$N$40,7,FALSE)</f>
        <v>2.7</v>
      </c>
      <c r="C6" s="12">
        <f>VLOOKUP(A6,Dataset!$A$2:$N$40,14,FALSE)</f>
        <v>7.6</v>
      </c>
      <c r="D6" s="12" t="e">
        <f>VLOOKUP(A6,Dataset!$A$2:$N$40,18,FALSE)</f>
        <v>#REF!</v>
      </c>
      <c r="E6" s="12" t="e">
        <f>VLOOKUP(A6,Dataset!$A$2:$N$40,20,FALSE)</f>
        <v>#REF!</v>
      </c>
      <c r="F6" s="12" t="e">
        <f>VLOOKUP(A6,Dataset!$A$2:$N$40,22,FALSE)</f>
        <v>#REF!</v>
      </c>
    </row>
    <row r="7" spans="1:8" ht="14.5">
      <c r="A7" s="7" t="s">
        <v>4</v>
      </c>
      <c r="B7" s="12">
        <f>VLOOKUP(A7,Dataset!$A$2:$N$40,7,FALSE)</f>
        <v>2.7</v>
      </c>
      <c r="C7" s="12">
        <f>VLOOKUP(A7,Dataset!$A$2:$N$40,13,FALSE)</f>
        <v>5.3</v>
      </c>
      <c r="D7" s="12"/>
      <c r="E7" s="12"/>
      <c r="F7" s="12"/>
      <c r="H7" s="2" t="s">
        <v>181</v>
      </c>
    </row>
    <row r="8" spans="1:8" ht="14.5">
      <c r="A8" s="7" t="s">
        <v>7</v>
      </c>
      <c r="B8" s="12">
        <f>VLOOKUP(A8,Dataset!$A$2:$N$40,7,FALSE)</f>
        <v>3.6</v>
      </c>
      <c r="C8" s="12">
        <f>VLOOKUP(A8,Dataset!$A$2:$N$40,13,FALSE)</f>
        <v>7.6</v>
      </c>
      <c r="D8" s="12"/>
      <c r="E8" s="12"/>
      <c r="F8" s="12"/>
      <c r="H8" s="2" t="s">
        <v>182</v>
      </c>
    </row>
    <row r="9" spans="1:8" ht="14.5">
      <c r="A9" s="7" t="s">
        <v>8</v>
      </c>
      <c r="B9" s="12">
        <f>VLOOKUP(A9,Dataset!$A$2:$N$40,7,FALSE)</f>
        <v>4.9000000000000004</v>
      </c>
      <c r="C9" s="12">
        <f>VLOOKUP(A9,Dataset!$A$2:$N$40,13,FALSE)</f>
        <v>10</v>
      </c>
      <c r="D9" s="12"/>
      <c r="E9" s="12"/>
      <c r="F9" s="12"/>
    </row>
    <row r="10" spans="1:8" ht="14.5">
      <c r="A10" s="7" t="s">
        <v>11</v>
      </c>
      <c r="B10" s="12">
        <f>VLOOKUP(A10,Dataset!$A$2:$N$40,7,FALSE)</f>
        <v>9.4</v>
      </c>
      <c r="C10" s="12">
        <f>VLOOKUP(A10,Dataset!$A$2:$N$40,13,FALSE)</f>
        <v>19.2</v>
      </c>
      <c r="D10" s="12"/>
      <c r="E10" s="12"/>
      <c r="F10" s="12"/>
    </row>
    <row r="11" spans="1:8" ht="14.5">
      <c r="A11" s="7" t="s">
        <v>12</v>
      </c>
      <c r="B11" s="12">
        <f>VLOOKUP(A11,Dataset!$A$2:$N$40,7,FALSE)</f>
        <v>11.6</v>
      </c>
      <c r="C11" s="12">
        <f>VLOOKUP(A11,Dataset!$A$2:$N$40,13,FALSE)</f>
        <v>23.6</v>
      </c>
      <c r="D11" s="12"/>
      <c r="E11" s="12"/>
      <c r="F11" s="12"/>
    </row>
    <row r="12" spans="1:8" ht="14.5">
      <c r="A12" s="7" t="s">
        <v>14</v>
      </c>
      <c r="B12" s="12">
        <f>VLOOKUP(A12,Dataset!$A$2:$N$40,7,FALSE)</f>
        <v>18.399999999999999</v>
      </c>
      <c r="C12" s="12">
        <f>VLOOKUP(A12,Dataset!$A$2:$N$40,13,FALSE)</f>
        <v>37.200000000000003</v>
      </c>
      <c r="D12" s="12"/>
      <c r="E12" s="12"/>
      <c r="F12" s="12"/>
    </row>
    <row r="13" spans="1:8" ht="14.5">
      <c r="A13" s="7" t="s">
        <v>15</v>
      </c>
      <c r="B13" s="12">
        <f>VLOOKUP(A13,Dataset!$A$2:$N$40,7,FALSE)</f>
        <v>0</v>
      </c>
      <c r="C13" s="12">
        <f>VLOOKUP(A13,Dataset!$A$2:$N$40,13,FALSE)</f>
        <v>0</v>
      </c>
      <c r="D13" s="12"/>
      <c r="E13" s="12"/>
      <c r="F13" s="12"/>
    </row>
    <row r="14" spans="1:8" ht="14.5">
      <c r="A14" s="7" t="s">
        <v>16</v>
      </c>
      <c r="B14" s="12">
        <f>VLOOKUP(A14,Dataset!$A$2:$N$40,7,FALSE)</f>
        <v>21.9</v>
      </c>
      <c r="C14" s="12">
        <f>VLOOKUP(A14,Dataset!$A$2:$N$40,13,FALSE)</f>
        <v>42.3</v>
      </c>
      <c r="D14" s="12"/>
      <c r="E14" s="12"/>
      <c r="F14" s="12"/>
    </row>
    <row r="15" spans="1:8" ht="14.5">
      <c r="A15" s="7" t="s">
        <v>18</v>
      </c>
      <c r="B15" s="12">
        <f>VLOOKUP(A15,Dataset!$A$2:$N$40,7,FALSE)</f>
        <v>26.8</v>
      </c>
      <c r="C15" s="12">
        <f>VLOOKUP(A15,Dataset!$A$2:$N$40,13,FALSE)</f>
        <v>54.6</v>
      </c>
      <c r="D15" s="12"/>
      <c r="E15" s="12"/>
      <c r="F15" s="8"/>
    </row>
    <row r="16" spans="1:8" ht="14.5">
      <c r="A16" s="7" t="s">
        <v>20</v>
      </c>
      <c r="B16" s="12">
        <f>VLOOKUP(A16,Dataset!$A$2:$N$40,7,FALSE)</f>
        <v>28.5</v>
      </c>
      <c r="C16" s="12">
        <f>VLOOKUP(A16,Dataset!$A$2:$N$40,13,FALSE)</f>
        <v>58.3</v>
      </c>
      <c r="D16" s="12"/>
      <c r="E16" s="12"/>
      <c r="F16" s="8"/>
    </row>
    <row r="17" spans="1:6" ht="14.5">
      <c r="A17" s="7" t="s">
        <v>22</v>
      </c>
      <c r="B17" s="12">
        <f>VLOOKUP(A17,Dataset!$A$2:$N$40,7,FALSE)</f>
        <v>30.7</v>
      </c>
      <c r="C17" s="12">
        <f>VLOOKUP(A17,Dataset!$A$2:$N$40,13,FALSE)</f>
        <v>62.5</v>
      </c>
      <c r="D17" s="12"/>
      <c r="E17" s="12"/>
      <c r="F17" s="8"/>
    </row>
    <row r="18" spans="1:6" ht="14.5">
      <c r="A18" s="7" t="s">
        <v>23</v>
      </c>
      <c r="B18" s="12">
        <f>VLOOKUP(A18,Dataset!$A$2:$N$40,7,FALSE)</f>
        <v>33.799999999999997</v>
      </c>
      <c r="C18" s="12">
        <f>VLOOKUP(A18,Dataset!$A$2:$N$40,13,FALSE)</f>
        <v>67.900000000000006</v>
      </c>
      <c r="D18" s="12"/>
      <c r="E18" s="12"/>
      <c r="F18" s="8"/>
    </row>
    <row r="19" spans="1:6" ht="14.5">
      <c r="A19" s="7" t="s">
        <v>24</v>
      </c>
      <c r="B19" s="12">
        <f>VLOOKUP(A19,Dataset!$A$2:$N$40,7,FALSE)</f>
        <v>34.700000000000003</v>
      </c>
      <c r="C19" s="12">
        <f>VLOOKUP(A19,Dataset!$A$2:$N$40,13,FALSE)</f>
        <v>70.8</v>
      </c>
      <c r="D19" s="12"/>
      <c r="E19" s="12"/>
      <c r="F19" s="8"/>
    </row>
    <row r="20" spans="1:6" ht="14.5">
      <c r="A20" s="7" t="s">
        <v>28</v>
      </c>
      <c r="B20" s="12">
        <f>VLOOKUP(A20,Dataset!$A$2:$N$40,7,FALSE)</f>
        <v>0</v>
      </c>
      <c r="C20" s="12">
        <f>VLOOKUP(A20,Dataset!$A$2:$N$40,13,FALSE)</f>
        <v>0</v>
      </c>
      <c r="D20" s="12"/>
      <c r="E20" s="12"/>
      <c r="F20" s="8"/>
    </row>
    <row r="21" spans="1:6" ht="14.5">
      <c r="A21" s="7" t="s">
        <v>57</v>
      </c>
      <c r="B21" s="12">
        <f>VLOOKUP(A21,Dataset!$A$2:$N$40,7,FALSE)</f>
        <v>41.3</v>
      </c>
      <c r="C21" s="12">
        <f>VLOOKUP(A21,Dataset!$A$2:$N$40,13,FALSE)</f>
        <v>83.5</v>
      </c>
      <c r="D21" s="12"/>
      <c r="E21" s="12"/>
      <c r="F21" s="8"/>
    </row>
    <row r="22" spans="1:6" ht="14.5">
      <c r="A22" s="7" t="s">
        <v>58</v>
      </c>
      <c r="B22" s="12">
        <f>VLOOKUP(A22,Dataset!$A$2:$N$40,7,FALSE)</f>
        <v>-1</v>
      </c>
      <c r="C22" s="12">
        <f>VLOOKUP(A22,Dataset!$A$2:$N$40,13,FALSE)</f>
        <v>-1</v>
      </c>
      <c r="D22" s="12"/>
      <c r="E22" s="12"/>
      <c r="F22" s="8"/>
    </row>
    <row r="23" spans="1:6" ht="14.5">
      <c r="A23" s="7" t="s">
        <v>31</v>
      </c>
      <c r="B23" s="12">
        <f>VLOOKUP(A23,Dataset!$A$2:$N$40,7,FALSE)</f>
        <v>45</v>
      </c>
      <c r="C23" s="12">
        <f>VLOOKUP(A23,Dataset!$A$2:$N$40,13,FALSE)</f>
        <v>90.9</v>
      </c>
      <c r="D23" s="12"/>
      <c r="E23" s="12"/>
      <c r="F23" s="8"/>
    </row>
    <row r="24" spans="1:6" ht="14.5">
      <c r="A24" s="7" t="s">
        <v>32</v>
      </c>
      <c r="B24" s="12">
        <f>VLOOKUP(A24,Dataset!$A$2:$N$40,7,FALSE)</f>
        <v>-1</v>
      </c>
      <c r="C24" s="12">
        <f>VLOOKUP(A24,Dataset!$A$2:$N$40,13,FALSE)</f>
        <v>-1</v>
      </c>
      <c r="D24" s="12"/>
      <c r="E24" s="12"/>
      <c r="F24" s="8"/>
    </row>
    <row r="25" spans="1:6" ht="14.5">
      <c r="A25" s="7" t="s">
        <v>34</v>
      </c>
      <c r="B25" s="12">
        <f>VLOOKUP(A25,Dataset!$A$2:$N$40,7,FALSE)</f>
        <v>43.3</v>
      </c>
      <c r="C25" s="12">
        <f>VLOOKUP(A25,Dataset!$A$2:$N$40,13,FALSE)</f>
        <v>87.6</v>
      </c>
      <c r="D25" s="12"/>
      <c r="E25" s="12"/>
      <c r="F25" s="8"/>
    </row>
    <row r="26" spans="1:6" ht="14.5">
      <c r="A26" s="7" t="s">
        <v>37</v>
      </c>
      <c r="B26" s="12">
        <f>VLOOKUP(A26,Dataset!$A$2:$N$40,7,FALSE)</f>
        <v>49.1</v>
      </c>
      <c r="C26" s="12">
        <f>VLOOKUP(A26,Dataset!$A$2:$N$40,13,FALSE)</f>
        <v>99.5</v>
      </c>
      <c r="D26" s="12"/>
      <c r="E26" s="12"/>
      <c r="F26" s="8"/>
    </row>
    <row r="27" spans="1:6" ht="14.5">
      <c r="A27" s="7" t="s">
        <v>39</v>
      </c>
      <c r="B27" s="12">
        <f>VLOOKUP(A27,Dataset!$A$2:$N$40,7,FALSE)</f>
        <v>51.8</v>
      </c>
      <c r="C27" s="12">
        <f>VLOOKUP(A27,Dataset!$A$2:$N$40,13,FALSE)</f>
        <v>104.5</v>
      </c>
      <c r="D27" s="12"/>
      <c r="E27" s="12"/>
      <c r="F27" s="8"/>
    </row>
    <row r="28" spans="1:6" ht="14.5">
      <c r="A28" s="19" t="s">
        <v>82</v>
      </c>
      <c r="B28" s="31">
        <f>MIN(B6:B27)</f>
        <v>-1</v>
      </c>
      <c r="C28" s="31">
        <f>MIN(C6:C27)</f>
        <v>-1</v>
      </c>
      <c r="D28" s="31"/>
      <c r="E28" s="31"/>
      <c r="F28" s="31"/>
    </row>
    <row r="29" spans="1:6" ht="14.5">
      <c r="A29" s="19" t="s">
        <v>83</v>
      </c>
      <c r="B29" s="31">
        <f>MAX(B6:B27)</f>
        <v>51.8</v>
      </c>
      <c r="C29" s="31">
        <f>MAX(C6:C27)</f>
        <v>104.5</v>
      </c>
      <c r="D29" s="31"/>
      <c r="E29" s="31"/>
      <c r="F29" s="31"/>
    </row>
    <row r="30" spans="1:6" ht="14.5">
      <c r="A30" s="19" t="s">
        <v>84</v>
      </c>
      <c r="B30" s="31">
        <f>AVERAGE(B6:B27)</f>
        <v>20.827272727272728</v>
      </c>
      <c r="C30" s="31">
        <f>AVERAGE(C6:C27)</f>
        <v>42.31363636363637</v>
      </c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7" sqref="B7"/>
    </sheetView>
  </sheetViews>
  <sheetFormatPr defaultColWidth="11" defaultRowHeight="14.5"/>
  <cols>
    <col min="1" max="1" width="39.796875" style="1" bestFit="1" customWidth="1"/>
    <col min="2" max="16384" width="11" style="1"/>
  </cols>
  <sheetData>
    <row r="1" spans="1:10" s="41" customFormat="1" ht="21">
      <c r="A1" s="42" t="s">
        <v>56</v>
      </c>
      <c r="B1" s="41" t="s">
        <v>174</v>
      </c>
    </row>
    <row r="2" spans="1:10" customFormat="1" ht="13"/>
    <row r="3" spans="1:10" s="2" customFormat="1">
      <c r="B3" s="1"/>
    </row>
    <row r="4" spans="1:10" s="2" customFormat="1">
      <c r="B4" s="1" t="s">
        <v>151</v>
      </c>
    </row>
    <row r="5" spans="1:10" ht="18.5">
      <c r="A5" s="43" t="s">
        <v>53</v>
      </c>
      <c r="B5" s="40"/>
    </row>
    <row r="6" spans="1:10" ht="18.5">
      <c r="A6" s="43" t="s">
        <v>153</v>
      </c>
      <c r="B6" s="40" t="s">
        <v>179</v>
      </c>
    </row>
    <row r="7" spans="1:10" ht="18.5">
      <c r="A7" s="43"/>
      <c r="B7" s="40"/>
    </row>
    <row r="9" spans="1:10" ht="23.5">
      <c r="A9" s="18" t="s">
        <v>165</v>
      </c>
      <c r="I9" s="2"/>
      <c r="J9" s="2"/>
    </row>
    <row r="10" spans="1:10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>
      <c r="A14" s="18" t="s">
        <v>162</v>
      </c>
    </row>
    <row r="15" spans="1:10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  <c r="G16" s="7"/>
    </row>
    <row r="17" spans="1:6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9" zoomScaleNormal="100" workbookViewId="0">
      <selection activeCell="F21" sqref="F21"/>
    </sheetView>
  </sheetViews>
  <sheetFormatPr defaultColWidth="11" defaultRowHeight="1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>
      <c r="A1" s="42" t="s">
        <v>85</v>
      </c>
      <c r="B1" s="41" t="s">
        <v>167</v>
      </c>
    </row>
    <row r="2" spans="1:3" ht="18.5">
      <c r="B2" s="40" t="s">
        <v>166</v>
      </c>
    </row>
    <row r="5" spans="1:3" ht="14.5">
      <c r="B5" s="1" t="s">
        <v>151</v>
      </c>
    </row>
    <row r="6" spans="1:3" ht="14.5">
      <c r="A6" s="3" t="s">
        <v>53</v>
      </c>
      <c r="B6" s="1"/>
    </row>
    <row r="7" spans="1:3" ht="14.5">
      <c r="A7" s="3" t="s">
        <v>153</v>
      </c>
      <c r="B7" s="1"/>
    </row>
    <row r="10" spans="1:3" ht="23.5">
      <c r="A10" s="18" t="s">
        <v>162</v>
      </c>
    </row>
    <row r="11" spans="1:3" ht="14.5">
      <c r="A11" s="32" t="s">
        <v>86</v>
      </c>
      <c r="B11" s="17" t="s">
        <v>87</v>
      </c>
      <c r="C11" s="17" t="s">
        <v>88</v>
      </c>
    </row>
    <row r="12" spans="1:3" ht="14.5">
      <c r="A12" s="32">
        <v>44927</v>
      </c>
      <c r="B12" s="17" t="s">
        <v>59</v>
      </c>
      <c r="C12" s="17">
        <v>200</v>
      </c>
    </row>
    <row r="13" spans="1:3" ht="14.5">
      <c r="A13" s="32">
        <v>44928</v>
      </c>
      <c r="B13" s="17" t="s">
        <v>60</v>
      </c>
      <c r="C13" s="17" t="e">
        <v>#N/A</v>
      </c>
    </row>
    <row r="14" spans="1:3" ht="14.5">
      <c r="A14" s="32">
        <v>44929</v>
      </c>
      <c r="B14" s="17" t="s">
        <v>61</v>
      </c>
      <c r="C14" s="17">
        <v>50</v>
      </c>
    </row>
    <row r="15" spans="1:3" ht="14.5">
      <c r="A15" s="32">
        <v>44930</v>
      </c>
      <c r="B15" s="17" t="s">
        <v>62</v>
      </c>
      <c r="C15" s="17" t="e">
        <v>#N/A</v>
      </c>
    </row>
    <row r="16" spans="1:3" ht="14.5">
      <c r="A16" s="32">
        <v>44931</v>
      </c>
      <c r="B16" s="17" t="s">
        <v>63</v>
      </c>
      <c r="C16" s="17">
        <v>10</v>
      </c>
    </row>
    <row r="17" spans="1:3" ht="14.5">
      <c r="A17" s="32">
        <v>44932</v>
      </c>
      <c r="B17" s="17" t="s">
        <v>154</v>
      </c>
      <c r="C17" s="17">
        <v>150</v>
      </c>
    </row>
    <row r="18" spans="1:3" ht="14.5">
      <c r="A18" s="32">
        <v>44933</v>
      </c>
      <c r="B18" s="17" t="s">
        <v>155</v>
      </c>
      <c r="C18" s="17">
        <v>80</v>
      </c>
    </row>
    <row r="19" spans="1:3" ht="14.5">
      <c r="A19" s="32">
        <v>44934</v>
      </c>
      <c r="B19" s="17" t="s">
        <v>156</v>
      </c>
      <c r="C19" s="17" t="e">
        <v>#N/A</v>
      </c>
    </row>
    <row r="20" spans="1:3" ht="14.5">
      <c r="A20" s="32">
        <v>44935</v>
      </c>
      <c r="B20" s="17" t="s">
        <v>157</v>
      </c>
      <c r="C20" s="17">
        <v>30</v>
      </c>
    </row>
    <row r="21" spans="1:3" ht="14.5">
      <c r="A21" s="32">
        <v>44936</v>
      </c>
      <c r="B21" s="17" t="s">
        <v>158</v>
      </c>
      <c r="C21" s="17" t="e">
        <v>#N/A</v>
      </c>
    </row>
    <row r="22" spans="1:3" ht="14.5">
      <c r="B22" s="17" t="s">
        <v>159</v>
      </c>
      <c r="C22" s="17">
        <f>SUMIF(C12:C21,"&lt;&gt;#N/A")</f>
        <v>520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6"/>
  <sheetViews>
    <sheetView zoomScaleNormal="100" workbookViewId="0">
      <selection activeCell="B6" sqref="B6"/>
    </sheetView>
  </sheetViews>
  <sheetFormatPr defaultColWidth="11" defaultRowHeight="13"/>
  <cols>
    <col min="1" max="1" width="28.19921875" style="2" bestFit="1" customWidth="1"/>
    <col min="2" max="16384" width="11" style="2"/>
  </cols>
  <sheetData>
    <row r="1" spans="1:14" ht="21">
      <c r="A1" s="42" t="s">
        <v>98</v>
      </c>
      <c r="B1" s="41" t="s">
        <v>175</v>
      </c>
    </row>
    <row r="3" spans="1:14" ht="14.5">
      <c r="B3" s="1" t="s">
        <v>151</v>
      </c>
    </row>
    <row r="4" spans="1:14" ht="18.5">
      <c r="A4" s="43" t="s">
        <v>53</v>
      </c>
      <c r="B4" s="1"/>
    </row>
    <row r="5" spans="1:14" ht="18.5">
      <c r="A5" s="43" t="s">
        <v>153</v>
      </c>
      <c r="B5" s="1" t="s">
        <v>180</v>
      </c>
    </row>
    <row r="6" spans="1:14" ht="14.5">
      <c r="A6" s="3"/>
      <c r="B6" s="1"/>
    </row>
    <row r="8" spans="1:14" ht="23.5">
      <c r="A8" s="18" t="s">
        <v>162</v>
      </c>
      <c r="M8" s="18" t="s">
        <v>163</v>
      </c>
    </row>
    <row r="9" spans="1:14" ht="14.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>
      <c r="A21" s="18" t="s">
        <v>168</v>
      </c>
    </row>
    <row r="22" spans="1:14" ht="14.5">
      <c r="A22" s="14" t="s">
        <v>100</v>
      </c>
      <c r="B22" s="17" t="s">
        <v>101</v>
      </c>
      <c r="C22" s="16" t="s">
        <v>102</v>
      </c>
    </row>
    <row r="23" spans="1:14" ht="14.5">
      <c r="A23" s="7">
        <v>10100</v>
      </c>
      <c r="B23" s="12">
        <v>10102</v>
      </c>
      <c r="C23" s="48" t="str">
        <f>IFERROR(VLOOKUP(A10,Table_B,2,FALSE),N10)</f>
        <v>A</v>
      </c>
    </row>
    <row r="24" spans="1:14" ht="14.5">
      <c r="A24" s="7">
        <v>10100</v>
      </c>
      <c r="B24" s="12">
        <v>10104</v>
      </c>
      <c r="C24" s="48" t="str">
        <f>IFERROR(VLOOKUP(A11,Table_B,2,FALSE),N11)</f>
        <v>B</v>
      </c>
    </row>
    <row r="25" spans="1:14" ht="14.5">
      <c r="A25" s="7">
        <v>10108</v>
      </c>
      <c r="B25" s="12">
        <v>10102</v>
      </c>
      <c r="C25" s="48" t="str">
        <f>IFERROR(VLOOKUP(A12,Table_B,2,FALSE),N12)</f>
        <v>C</v>
      </c>
    </row>
    <row r="26" spans="1:14" ht="14.5">
      <c r="A26" s="7">
        <v>10100</v>
      </c>
      <c r="B26" s="12">
        <v>10106</v>
      </c>
      <c r="C26" s="48" t="str">
        <f>IFERROR(VLOOKUP(A13,Table_B,2,FALSE),N13)</f>
        <v>D</v>
      </c>
    </row>
    <row r="27" spans="1:14" ht="14.5">
      <c r="A27" s="7">
        <v>10108</v>
      </c>
      <c r="B27" s="12">
        <v>10110</v>
      </c>
      <c r="C27" s="48" t="str">
        <f>IFERROR(VLOOKUP(A14,Table_B,2,FALSE),N14)</f>
        <v>E</v>
      </c>
    </row>
    <row r="28" spans="1:14" ht="14.5">
      <c r="A28" s="7">
        <v>10102</v>
      </c>
      <c r="B28" s="12">
        <v>10104</v>
      </c>
      <c r="C28" s="48" t="str">
        <f>IFERROR(VLOOKUP(A15,Table_B,2,FALSE),N15)</f>
        <v>F</v>
      </c>
    </row>
    <row r="29" spans="1:14" ht="14.5">
      <c r="A29" s="7">
        <v>10106</v>
      </c>
      <c r="B29" s="12">
        <v>10108</v>
      </c>
      <c r="C29" s="48" t="str">
        <f>IFERROR(VLOOKUP(A16,Table_B,2,FALSE),N16)</f>
        <v>G</v>
      </c>
    </row>
    <row r="30" spans="1:14" ht="14.5">
      <c r="A30" s="7">
        <v>10102</v>
      </c>
      <c r="B30" s="12">
        <v>10106</v>
      </c>
      <c r="C30" s="48" t="str">
        <f>IFERROR(VLOOKUP(A17,Table_B,2,FALSE),N17)</f>
        <v>H</v>
      </c>
    </row>
    <row r="31" spans="1:14" ht="14.5">
      <c r="A31" s="7">
        <v>10110</v>
      </c>
      <c r="B31" s="12">
        <v>10114</v>
      </c>
      <c r="C31" s="48" t="str">
        <f>IFERROR(VLOOKUP(A18,Table_B,2,FALSE),N18)</f>
        <v>I</v>
      </c>
    </row>
    <row r="32" spans="1:14" ht="14.5">
      <c r="A32" s="7">
        <v>10104</v>
      </c>
      <c r="B32" s="12">
        <v>10106</v>
      </c>
      <c r="C32" s="48">
        <f>IFERROR(VLOOKUP(A19,Table_B,2,FALSE),N19)</f>
        <v>0</v>
      </c>
    </row>
    <row r="33" spans="1:3" ht="14.5">
      <c r="A33" s="7">
        <v>10110</v>
      </c>
      <c r="B33" s="12">
        <v>10112</v>
      </c>
      <c r="C33" s="48">
        <f>IFERROR(VLOOKUP(A20,Table_B,2,FALSE),N20)</f>
        <v>0</v>
      </c>
    </row>
    <row r="34" spans="1:3" ht="14.5">
      <c r="A34" s="7">
        <v>10100</v>
      </c>
      <c r="B34" s="12">
        <v>10114</v>
      </c>
      <c r="C34" s="48">
        <f>IFERROR(VLOOKUP(A21,Table_B,2,FALSE),N21)</f>
        <v>0</v>
      </c>
    </row>
    <row r="35" spans="1:3" ht="14.5">
      <c r="A35" s="9">
        <v>10112</v>
      </c>
      <c r="B35" s="13">
        <v>10116</v>
      </c>
      <c r="C35" s="48">
        <f>IFERROR(VLOOKUP(A22,Table_B,2,FALSE),N22)</f>
        <v>0</v>
      </c>
    </row>
    <row r="36" spans="1:3">
      <c r="C36" s="4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Ram Orcl</cp:lastModifiedBy>
  <dcterms:created xsi:type="dcterms:W3CDTF">2015-02-10T17:33:11Z</dcterms:created>
  <dcterms:modified xsi:type="dcterms:W3CDTF">2023-12-09T17:02:31Z</dcterms:modified>
</cp:coreProperties>
</file>